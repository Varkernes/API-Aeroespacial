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124" documentId="11_9C36F0CFC7684FABB13637C04A676C706992073B" xr6:coauthVersionLast="47" xr6:coauthVersionMax="47" xr10:uidLastSave="{08346846-5ACE-4277-ABA1-76A0196221D5}"/>
  <bookViews>
    <workbookView xWindow="0" yWindow="0" windowWidth="21600" windowHeight="9585" xr2:uid="{00000000-000D-0000-FFFF-FFFF00000000}"/>
  </bookViews>
  <sheets>
    <sheet name="Resultado" sheetId="1" r:id="rId1"/>
    <sheet name="Detalhamento" sheetId="2" r:id="rId2"/>
  </sheets>
  <definedNames>
    <definedName name="_xlnm._FilterDatabase" localSheetId="0" hidden="1">Resultado!$A$1:$I$18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I18" i="1"/>
</calcChain>
</file>

<file path=xl/sharedStrings.xml><?xml version="1.0" encoding="utf-8"?>
<sst xmlns="http://schemas.openxmlformats.org/spreadsheetml/2006/main" count="160" uniqueCount="77">
  <si>
    <t>Mês</t>
  </si>
  <si>
    <t>Codigo SH4</t>
  </si>
  <si>
    <t>Descrição SH4</t>
  </si>
  <si>
    <t>Município</t>
  </si>
  <si>
    <t>País</t>
  </si>
  <si>
    <t>UF do Município</t>
  </si>
  <si>
    <t>Bloco Econômico</t>
  </si>
  <si>
    <t>2022 - Valor FOB (US$)</t>
  </si>
  <si>
    <t>2022 - Quilograma Líquido</t>
  </si>
  <si>
    <t>Outros veículos aéreos (por exemplo: helicópteros, aviões); veículos espaciais (incluídos os satélites) e seus veículos de lançamento e veículos suborbitais</t>
  </si>
  <si>
    <t>São José dos Campos - SP</t>
  </si>
  <si>
    <t>Estados Unidos</t>
  </si>
  <si>
    <t>São Paulo</t>
  </si>
  <si>
    <t>América do Norte</t>
  </si>
  <si>
    <t>Países Baixos (Holanda)</t>
  </si>
  <si>
    <t>Europa</t>
  </si>
  <si>
    <t>União Europeia - UE</t>
  </si>
  <si>
    <t>Bulgária</t>
  </si>
  <si>
    <t>Total: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</si>
  <si>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</si>
  <si>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</si>
  <si>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</si>
  <si>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</si>
  <si>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</si>
  <si>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</si>
  <si>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</si>
  <si>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operação</t>
  </si>
  <si>
    <t>Tipo de ordenação</t>
  </si>
  <si>
    <t>Filtros</t>
  </si>
  <si>
    <t>Posição (SH4)</t>
  </si>
  <si>
    <t>Detalhes</t>
  </si>
  <si>
    <t>Valores</t>
  </si>
  <si>
    <t>Janeiro</t>
  </si>
  <si>
    <t>Dezembro</t>
  </si>
  <si>
    <t>Horizontal</t>
  </si>
  <si>
    <t>Por município</t>
  </si>
  <si>
    <t>Exportação</t>
  </si>
  <si>
    <t>Aparecida - SP</t>
  </si>
  <si>
    <t>Valor FOB</t>
  </si>
  <si>
    <t>Arapeí - SP</t>
  </si>
  <si>
    <t>Quilograma Líquido</t>
  </si>
  <si>
    <t>Areias - SP</t>
  </si>
  <si>
    <t>Bananal - SP</t>
  </si>
  <si>
    <t>Caçapava - SP</t>
  </si>
  <si>
    <t>Cachoeira Paulista - SP</t>
  </si>
  <si>
    <t>Campos do Jordão - SP</t>
  </si>
  <si>
    <t>Canas - SP</t>
  </si>
  <si>
    <t>Caraguatatuba - SP</t>
  </si>
  <si>
    <t>Cruzeiro - SP</t>
  </si>
  <si>
    <t>Cunha - SP</t>
  </si>
  <si>
    <t>Guaratinguetá - SP</t>
  </si>
  <si>
    <t>Igaratá - SP</t>
  </si>
  <si>
    <t>Ilhabela - SP</t>
  </si>
  <si>
    <t>Jacareí - SP</t>
  </si>
  <si>
    <t>Jambeiro - SP</t>
  </si>
  <si>
    <t>Lagoinha - SP</t>
  </si>
  <si>
    <t>Lavrinhas - SP</t>
  </si>
  <si>
    <t>Lorena - SP</t>
  </si>
  <si>
    <t>Monteiro Lobato - SP</t>
  </si>
  <si>
    <t>Natividade da Serra - SP</t>
  </si>
  <si>
    <t>Paraibuna - SP</t>
  </si>
  <si>
    <t>Pindamonhangaba - SP</t>
  </si>
  <si>
    <t>Piquete - SP</t>
  </si>
  <si>
    <t>Potim - SP</t>
  </si>
  <si>
    <t>Queluz - SP</t>
  </si>
  <si>
    <t>Redenção da Serra - SP</t>
  </si>
  <si>
    <t>Roseira - SP</t>
  </si>
  <si>
    <t>Santa Branca - SP</t>
  </si>
  <si>
    <t>Santo Antônio do Pinhal - SP</t>
  </si>
  <si>
    <t>São Bento do Sapucaí - SP</t>
  </si>
  <si>
    <t>São José do Barreiro - SP</t>
  </si>
  <si>
    <t>São Luís do Paraitinga - SP</t>
  </si>
  <si>
    <t>São Sebastião - SP</t>
  </si>
  <si>
    <t>Silveiras - SP</t>
  </si>
  <si>
    <t>Taubaté - SP</t>
  </si>
  <si>
    <t>Tremembé - SP</t>
  </si>
  <si>
    <t>Ubatuba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</si>
</sst>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3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49" fontId="0" fillId="0" borderId="1" xfId="0" applyNumberFormat="1" applyBorder="1" applyAlignment="1">
      <alignment horizontal="left"/>
    </xf>
    <xf numFmtId="164" fontId="0" fillId="0" borderId="1" xfId="1" applyFont="1" applyBorder="1" applyAlignment="1">
      <alignment horizontal="right"/>
    </xf>
    <xf numFmtId="17" fontId="0" fillId="0" borderId="1" xfId="0" applyNumberFormat="1" applyBorder="1" applyAlignment="1">
      <alignment horizontal="right"/>
    </xf>
    <xf numFmtId="1" fontId="2" fillId="2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17" fontId="0" fillId="0" borderId="3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4" fontId="0" fillId="0" borderId="0" xfId="0" applyNumberFormat="1"/>
    <xf numFmtId="1" fontId="2" fillId="2" borderId="4" xfId="0" applyNumberFormat="1" applyFon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1" fontId="0" fillId="0" borderId="5" xfId="0" applyNumberFormat="1" applyBorder="1" applyAlignment="1">
      <alignment horizontal="right"/>
    </xf>
    <xf numFmtId="49" fontId="1" fillId="3" borderId="0" xfId="0" applyNumberFormat="1" applyFont="1" applyFill="1" applyBorder="1" applyAlignment="1">
      <alignment horizontal="left"/>
    </xf>
    <xf numFmtId="17" fontId="0" fillId="0" borderId="0" xfId="0" applyNumberFormat="1" applyBorder="1" applyAlignment="1">
      <alignment horizontal="right"/>
    </xf>
    <xf numFmtId="164" fontId="0" fillId="0" borderId="0" xfId="1" applyFont="1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49" fontId="2" fillId="0" borderId="6" xfId="0" applyNumberFormat="1" applyFont="1" applyBorder="1" applyAlignment="1">
      <alignment horizontal="left"/>
    </xf>
    <xf numFmtId="164" fontId="0" fillId="0" borderId="7" xfId="0" applyNumberFormat="1" applyBorder="1"/>
    <xf numFmtId="2" fontId="0" fillId="0" borderId="8" xfId="0" applyNumberFormat="1" applyBorder="1"/>
  </cellXfs>
  <cellStyles count="2">
    <cellStyle name="Currency" xfId="1" builtinId="4"/>
    <cellStyle name="Normal" xfId="0" builtinId="0"/>
  </cellStyles>
  <dxfs count="13">
    <dxf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\-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0" formatCode="@"/>
      <fill>
        <patternFill patternType="solid">
          <fgColor indexed="64"/>
          <bgColor rgb="FF000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A54A43-4A8B-478D-97F6-CF4FA3FFF6F5}" name="Table2" displayName="Table2" ref="A1:I18" totalsRowShown="0" headerRowDxfId="12" dataDxfId="11" headerRowBorderDxfId="9" tableBorderDxfId="10">
  <autoFilter ref="A1:I18" xr:uid="{29A54A43-4A8B-478D-97F6-CF4FA3FFF6F5}"/>
  <tableColumns count="9">
    <tableColumn id="1" xr3:uid="{B0482952-EFAA-4C62-9CC2-15CB5CFF0F01}" name="Mês" dataDxfId="8"/>
    <tableColumn id="2" xr3:uid="{74E8EC31-B018-4914-948E-521CA4555979}" name="Codigo SH4" dataDxfId="7"/>
    <tableColumn id="3" xr3:uid="{A59107E8-14B3-45F5-B7FB-D5C5DC3AA17C}" name="Descrição SH4" dataDxfId="6"/>
    <tableColumn id="4" xr3:uid="{223063AB-C855-4C52-A017-5A6A2A4C1CB5}" name="Município" dataDxfId="5"/>
    <tableColumn id="5" xr3:uid="{D050FF6A-DA05-43F3-B5B2-41892EDDFC2D}" name="País" dataDxfId="4"/>
    <tableColumn id="6" xr3:uid="{6690C68B-558C-4781-9D42-1582459A9FAD}" name="UF do Município" dataDxfId="3"/>
    <tableColumn id="7" xr3:uid="{278B2AA1-F5B7-4657-981D-628838A9C4D2}" name="Bloco Econômico" dataDxfId="2"/>
    <tableColumn id="8" xr3:uid="{0B8141DA-F2FB-491E-92EE-99E015B2B228}" name="2022 - Valor FOB (US$)" dataDxfId="1"/>
    <tableColumn id="9" xr3:uid="{BD38EB05-0A13-4FC2-A781-E0DE623CCF20}" name="2022 - Quilograma Líqui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E24" sqref="E24"/>
    </sheetView>
  </sheetViews>
  <sheetFormatPr defaultRowHeight="15"/>
  <cols>
    <col min="1" max="1" width="10.7109375" bestFit="1" customWidth="1"/>
    <col min="2" max="2" width="13.42578125" bestFit="1" customWidth="1"/>
    <col min="3" max="3" width="66.42578125" customWidth="1"/>
    <col min="4" max="4" width="29.42578125" bestFit="1" customWidth="1"/>
    <col min="5" max="5" width="28.140625" bestFit="1" customWidth="1"/>
    <col min="6" max="6" width="18.7109375" bestFit="1" customWidth="1"/>
    <col min="7" max="7" width="23.42578125" bestFit="1" customWidth="1"/>
    <col min="8" max="8" width="27" bestFit="1" customWidth="1"/>
    <col min="9" max="9" width="30.5703125" bestFit="1" customWidth="1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9" t="s">
        <v>8</v>
      </c>
      <c r="J1" s="12"/>
    </row>
    <row r="2" spans="1:10">
      <c r="A2" s="3">
        <v>44713</v>
      </c>
      <c r="B2" s="1">
        <v>8802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131433089</v>
      </c>
      <c r="I2" s="11">
        <v>102186</v>
      </c>
      <c r="J2" s="10"/>
    </row>
    <row r="3" spans="1:10">
      <c r="A3" s="3">
        <v>44621</v>
      </c>
      <c r="B3" s="1">
        <v>8802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2">
        <v>103551205</v>
      </c>
      <c r="I3" s="11">
        <v>82242</v>
      </c>
      <c r="J3" s="10"/>
    </row>
    <row r="4" spans="1:10">
      <c r="A4" s="3">
        <v>44682</v>
      </c>
      <c r="B4" s="1">
        <v>8802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2">
        <v>94254322</v>
      </c>
      <c r="I4" s="11">
        <v>72363</v>
      </c>
      <c r="J4" s="10"/>
    </row>
    <row r="5" spans="1:10">
      <c r="A5" s="3">
        <v>44743</v>
      </c>
      <c r="B5" s="1">
        <v>8802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2">
        <v>80724992</v>
      </c>
      <c r="I5" s="11">
        <v>61689</v>
      </c>
      <c r="J5" s="10"/>
    </row>
    <row r="6" spans="1:10">
      <c r="A6" s="3">
        <v>44652</v>
      </c>
      <c r="B6" s="1">
        <v>8802</v>
      </c>
      <c r="C6" s="1" t="s">
        <v>9</v>
      </c>
      <c r="D6" s="1" t="s">
        <v>10</v>
      </c>
      <c r="E6" s="1" t="s">
        <v>14</v>
      </c>
      <c r="F6" s="1" t="s">
        <v>12</v>
      </c>
      <c r="G6" s="1" t="s">
        <v>15</v>
      </c>
      <c r="H6" s="2">
        <v>67474658</v>
      </c>
      <c r="I6" s="11">
        <v>67372</v>
      </c>
      <c r="J6" s="10"/>
    </row>
    <row r="7" spans="1:10">
      <c r="A7" s="3">
        <v>44652</v>
      </c>
      <c r="B7" s="1">
        <v>8802</v>
      </c>
      <c r="C7" s="1" t="s">
        <v>9</v>
      </c>
      <c r="D7" s="1" t="s">
        <v>10</v>
      </c>
      <c r="E7" s="1" t="s">
        <v>14</v>
      </c>
      <c r="F7" s="1" t="s">
        <v>12</v>
      </c>
      <c r="G7" s="1" t="s">
        <v>16</v>
      </c>
      <c r="H7" s="2">
        <v>67474658</v>
      </c>
      <c r="I7" s="11">
        <v>67372</v>
      </c>
      <c r="J7" s="10"/>
    </row>
    <row r="8" spans="1:10">
      <c r="A8" s="3">
        <v>44652</v>
      </c>
      <c r="B8" s="1">
        <v>8802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2">
        <v>42712690</v>
      </c>
      <c r="I8" s="11">
        <v>31243</v>
      </c>
      <c r="J8" s="10"/>
    </row>
    <row r="9" spans="1:10">
      <c r="A9" s="3">
        <v>44713</v>
      </c>
      <c r="B9" s="1">
        <v>8802</v>
      </c>
      <c r="C9" s="1" t="s">
        <v>9</v>
      </c>
      <c r="D9" s="1" t="s">
        <v>10</v>
      </c>
      <c r="E9" s="1" t="s">
        <v>14</v>
      </c>
      <c r="F9" s="1" t="s">
        <v>12</v>
      </c>
      <c r="G9" s="1" t="s">
        <v>15</v>
      </c>
      <c r="H9" s="2">
        <v>34069008</v>
      </c>
      <c r="I9" s="11">
        <v>33686</v>
      </c>
      <c r="J9" s="10"/>
    </row>
    <row r="10" spans="1:10">
      <c r="A10" s="3">
        <v>44713</v>
      </c>
      <c r="B10" s="1">
        <v>8802</v>
      </c>
      <c r="C10" s="1" t="s">
        <v>9</v>
      </c>
      <c r="D10" s="1" t="s">
        <v>10</v>
      </c>
      <c r="E10" s="1" t="s">
        <v>14</v>
      </c>
      <c r="F10" s="1" t="s">
        <v>12</v>
      </c>
      <c r="G10" s="1" t="s">
        <v>16</v>
      </c>
      <c r="H10" s="2">
        <v>34069008</v>
      </c>
      <c r="I10" s="11">
        <v>33686</v>
      </c>
      <c r="J10" s="10"/>
    </row>
    <row r="11" spans="1:10">
      <c r="A11" s="3">
        <v>44621</v>
      </c>
      <c r="B11" s="1">
        <v>8802</v>
      </c>
      <c r="C11" s="1" t="s">
        <v>9</v>
      </c>
      <c r="D11" s="1" t="s">
        <v>10</v>
      </c>
      <c r="E11" s="1" t="s">
        <v>14</v>
      </c>
      <c r="F11" s="1" t="s">
        <v>12</v>
      </c>
      <c r="G11" s="1" t="s">
        <v>16</v>
      </c>
      <c r="H11" s="2">
        <v>33618856</v>
      </c>
      <c r="I11" s="11">
        <v>33686</v>
      </c>
      <c r="J11" s="10"/>
    </row>
    <row r="12" spans="1:10">
      <c r="A12" s="3">
        <v>44621</v>
      </c>
      <c r="B12" s="1">
        <v>8802</v>
      </c>
      <c r="C12" s="1" t="s">
        <v>9</v>
      </c>
      <c r="D12" s="1" t="s">
        <v>10</v>
      </c>
      <c r="E12" s="1" t="s">
        <v>14</v>
      </c>
      <c r="F12" s="1" t="s">
        <v>12</v>
      </c>
      <c r="G12" s="1" t="s">
        <v>15</v>
      </c>
      <c r="H12" s="2">
        <v>33618856</v>
      </c>
      <c r="I12" s="11">
        <v>33686</v>
      </c>
      <c r="J12" s="10"/>
    </row>
    <row r="13" spans="1:10">
      <c r="A13" s="3">
        <v>44593</v>
      </c>
      <c r="B13" s="1">
        <v>8802</v>
      </c>
      <c r="C13" s="1" t="s">
        <v>9</v>
      </c>
      <c r="D13" s="1" t="s">
        <v>10</v>
      </c>
      <c r="E13" s="1" t="s">
        <v>14</v>
      </c>
      <c r="F13" s="1" t="s">
        <v>12</v>
      </c>
      <c r="G13" s="1" t="s">
        <v>15</v>
      </c>
      <c r="H13" s="2">
        <v>33553840</v>
      </c>
      <c r="I13" s="11">
        <v>33686</v>
      </c>
      <c r="J13" s="10"/>
    </row>
    <row r="14" spans="1:10">
      <c r="A14" s="3">
        <v>44593</v>
      </c>
      <c r="B14" s="1">
        <v>8802</v>
      </c>
      <c r="C14" s="1" t="s">
        <v>9</v>
      </c>
      <c r="D14" s="1" t="s">
        <v>10</v>
      </c>
      <c r="E14" s="1" t="s">
        <v>14</v>
      </c>
      <c r="F14" s="1" t="s">
        <v>12</v>
      </c>
      <c r="G14" s="1" t="s">
        <v>16</v>
      </c>
      <c r="H14" s="2">
        <v>33553840</v>
      </c>
      <c r="I14" s="11">
        <v>33686</v>
      </c>
      <c r="J14" s="10"/>
    </row>
    <row r="15" spans="1:10">
      <c r="A15" s="3">
        <v>44593</v>
      </c>
      <c r="B15" s="1">
        <v>8802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2">
        <v>24630566</v>
      </c>
      <c r="I15" s="11">
        <v>33686</v>
      </c>
      <c r="J15" s="10"/>
    </row>
    <row r="16" spans="1:10">
      <c r="A16" s="3">
        <v>44621</v>
      </c>
      <c r="B16" s="1">
        <v>8802</v>
      </c>
      <c r="C16" s="1" t="s">
        <v>9</v>
      </c>
      <c r="D16" s="1" t="s">
        <v>10</v>
      </c>
      <c r="E16" s="1" t="s">
        <v>17</v>
      </c>
      <c r="F16" s="1" t="s">
        <v>12</v>
      </c>
      <c r="G16" s="1" t="s">
        <v>15</v>
      </c>
      <c r="H16" s="2">
        <v>83194</v>
      </c>
      <c r="I16" s="11">
        <v>2</v>
      </c>
      <c r="J16" s="10"/>
    </row>
    <row r="17" spans="1:10">
      <c r="A17" s="6">
        <v>44621</v>
      </c>
      <c r="B17" s="7">
        <v>8802</v>
      </c>
      <c r="C17" s="7" t="s">
        <v>9</v>
      </c>
      <c r="D17" s="7" t="s">
        <v>10</v>
      </c>
      <c r="E17" s="7" t="s">
        <v>17</v>
      </c>
      <c r="F17" s="7" t="s">
        <v>12</v>
      </c>
      <c r="G17" s="7" t="s">
        <v>16</v>
      </c>
      <c r="H17" s="2">
        <v>83194</v>
      </c>
      <c r="I17" s="11">
        <v>2</v>
      </c>
      <c r="J17" s="10"/>
    </row>
    <row r="18" spans="1:10">
      <c r="G18" s="17" t="s">
        <v>18</v>
      </c>
      <c r="H18" s="18">
        <f>SUM(H2:H17)</f>
        <v>814905976</v>
      </c>
      <c r="I18" s="19">
        <f>SUM(I2:I17)</f>
        <v>720273</v>
      </c>
      <c r="J18" s="10"/>
    </row>
    <row r="19" spans="1:10">
      <c r="A19" s="13"/>
      <c r="B19" s="10"/>
      <c r="C19" s="10"/>
      <c r="D19" s="10"/>
      <c r="E19" s="10"/>
      <c r="F19" s="10"/>
      <c r="G19" s="10"/>
      <c r="H19" s="14"/>
      <c r="I19" s="15"/>
      <c r="J19" s="16"/>
    </row>
    <row r="20" spans="1:10">
      <c r="A20" s="13"/>
      <c r="B20" s="10"/>
      <c r="C20" s="10"/>
      <c r="D20" s="10"/>
      <c r="E20" s="10"/>
      <c r="F20" s="10"/>
      <c r="G20" s="10"/>
      <c r="H20" s="14"/>
      <c r="I20" s="15"/>
      <c r="J20" s="10"/>
    </row>
    <row r="26" spans="1:10">
      <c r="G26" s="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workbookViewId="0"/>
  </sheetViews>
  <sheetFormatPr defaultRowHeight="15"/>
  <cols>
    <col min="1" max="1" width="14" bestFit="1" customWidth="1"/>
    <col min="2" max="2" width="11.7109375" bestFit="1" customWidth="1"/>
    <col min="3" max="3" width="14" bestFit="1" customWidth="1"/>
    <col min="4" max="4" width="11.7109375" bestFit="1" customWidth="1"/>
    <col min="5" max="5" width="24.7109375" bestFit="1" customWidth="1"/>
    <col min="6" max="8" width="20" bestFit="1" customWidth="1"/>
    <col min="9" max="9" width="21.140625" bestFit="1" customWidth="1"/>
    <col min="10" max="11" width="16.42578125" bestFit="1" customWidth="1"/>
    <col min="12" max="12" width="34.140625" bestFit="1" customWidth="1"/>
    <col min="13" max="13" width="5.85546875" bestFit="1" customWidth="1"/>
    <col min="14" max="14" width="18.7109375" bestFit="1" customWidth="1"/>
    <col min="15" max="15" width="22.28515625" bestFit="1" customWidth="1"/>
  </cols>
  <sheetData>
    <row r="1" spans="1:1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</v>
      </c>
      <c r="M1" t="s">
        <v>4</v>
      </c>
      <c r="N1" t="s">
        <v>30</v>
      </c>
      <c r="O1" t="s">
        <v>31</v>
      </c>
    </row>
    <row r="2" spans="1:15">
      <c r="A2">
        <v>2022</v>
      </c>
      <c r="B2">
        <v>2022</v>
      </c>
      <c r="C2" t="s">
        <v>32</v>
      </c>
      <c r="D2" t="s">
        <v>33</v>
      </c>
      <c r="E2">
        <v>16</v>
      </c>
      <c r="F2" t="s">
        <v>34</v>
      </c>
      <c r="G2" t="s">
        <v>35</v>
      </c>
      <c r="H2" t="s">
        <v>36</v>
      </c>
      <c r="I2" t="s">
        <v>31</v>
      </c>
      <c r="J2" t="s">
        <v>29</v>
      </c>
      <c r="K2">
        <v>8806</v>
      </c>
      <c r="L2" t="s">
        <v>37</v>
      </c>
      <c r="N2" t="s">
        <v>29</v>
      </c>
      <c r="O2" t="s">
        <v>38</v>
      </c>
    </row>
    <row r="3" spans="1:15">
      <c r="J3" t="s">
        <v>3</v>
      </c>
      <c r="K3">
        <v>8802</v>
      </c>
      <c r="L3" t="s">
        <v>39</v>
      </c>
      <c r="N3" t="s">
        <v>3</v>
      </c>
      <c r="O3" t="s">
        <v>40</v>
      </c>
    </row>
    <row r="4" spans="1:15">
      <c r="J4" t="s">
        <v>4</v>
      </c>
      <c r="L4" t="s">
        <v>41</v>
      </c>
      <c r="N4" t="s">
        <v>4</v>
      </c>
    </row>
    <row r="5" spans="1:15">
      <c r="L5" t="s">
        <v>42</v>
      </c>
      <c r="N5" t="s">
        <v>5</v>
      </c>
    </row>
    <row r="6" spans="1:15">
      <c r="L6" t="s">
        <v>43</v>
      </c>
      <c r="N6" t="s">
        <v>6</v>
      </c>
    </row>
    <row r="7" spans="1:15">
      <c r="L7" t="s">
        <v>44</v>
      </c>
    </row>
    <row r="8" spans="1:15">
      <c r="L8" t="s">
        <v>45</v>
      </c>
    </row>
    <row r="9" spans="1:15">
      <c r="L9" t="s">
        <v>46</v>
      </c>
    </row>
    <row r="10" spans="1:15">
      <c r="L10" t="s">
        <v>47</v>
      </c>
    </row>
    <row r="11" spans="1:15">
      <c r="L11" t="s">
        <v>48</v>
      </c>
    </row>
    <row r="12" spans="1:15">
      <c r="L12" t="s">
        <v>49</v>
      </c>
    </row>
    <row r="13" spans="1:15">
      <c r="L13" t="s">
        <v>50</v>
      </c>
    </row>
    <row r="14" spans="1:15">
      <c r="L14" t="s">
        <v>51</v>
      </c>
    </row>
    <row r="15" spans="1:15">
      <c r="L15" t="s">
        <v>52</v>
      </c>
    </row>
    <row r="16" spans="1:15">
      <c r="L16" t="s">
        <v>53</v>
      </c>
    </row>
    <row r="17" spans="12:12">
      <c r="L17" t="s">
        <v>54</v>
      </c>
    </row>
    <row r="18" spans="12:12">
      <c r="L18" t="s">
        <v>55</v>
      </c>
    </row>
    <row r="19" spans="12:12">
      <c r="L19" t="s">
        <v>56</v>
      </c>
    </row>
    <row r="20" spans="12:12">
      <c r="L20" t="s">
        <v>57</v>
      </c>
    </row>
    <row r="21" spans="12:12">
      <c r="L21" t="s">
        <v>58</v>
      </c>
    </row>
    <row r="22" spans="12:12">
      <c r="L22" t="s">
        <v>59</v>
      </c>
    </row>
    <row r="23" spans="12:12">
      <c r="L23" t="s">
        <v>60</v>
      </c>
    </row>
    <row r="24" spans="12:12">
      <c r="L24" t="s">
        <v>61</v>
      </c>
    </row>
    <row r="25" spans="12:12">
      <c r="L25" t="s">
        <v>62</v>
      </c>
    </row>
    <row r="26" spans="12:12">
      <c r="L26" t="s">
        <v>63</v>
      </c>
    </row>
    <row r="27" spans="12:12">
      <c r="L27" t="s">
        <v>64</v>
      </c>
    </row>
    <row r="28" spans="12:12">
      <c r="L28" t="s">
        <v>65</v>
      </c>
    </row>
    <row r="29" spans="12:12">
      <c r="L29" t="s">
        <v>66</v>
      </c>
    </row>
    <row r="30" spans="12:12">
      <c r="L30" t="s">
        <v>67</v>
      </c>
    </row>
    <row r="31" spans="12:12">
      <c r="L31" t="s">
        <v>68</v>
      </c>
    </row>
    <row r="32" spans="12:12">
      <c r="L32" t="s">
        <v>69</v>
      </c>
    </row>
    <row r="33" spans="12:12">
      <c r="L33" t="s">
        <v>70</v>
      </c>
    </row>
    <row r="34" spans="12:12">
      <c r="L34" t="s">
        <v>10</v>
      </c>
    </row>
    <row r="35" spans="12:12">
      <c r="L35" t="s">
        <v>71</v>
      </c>
    </row>
    <row r="36" spans="12:12">
      <c r="L36" t="s">
        <v>72</v>
      </c>
    </row>
    <row r="37" spans="12:12">
      <c r="L37" t="s">
        <v>73</v>
      </c>
    </row>
    <row r="38" spans="12:12">
      <c r="L38" t="s">
        <v>74</v>
      </c>
    </row>
    <row r="39" spans="12:12">
      <c r="L39" t="s">
        <v>75</v>
      </c>
    </row>
    <row r="40" spans="12:12">
      <c r="L40" t="s">
        <v>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ComexStat</dc:title>
  <dc:subject>ComexStat</dc:subject>
  <dc:creator>ComexStat</dc:creator>
  <cp:keywords>ComexStat</cp:keywords>
  <dc:description>ComexStat</dc:description>
  <cp:lastModifiedBy>ROGERIO AUGUSTO ANTUNES PEREIRA</cp:lastModifiedBy>
  <cp:revision/>
  <dcterms:created xsi:type="dcterms:W3CDTF">2022-09-01T00:27:54Z</dcterms:created>
  <dcterms:modified xsi:type="dcterms:W3CDTF">2022-09-14T17:03:58Z</dcterms:modified>
  <cp:category>ComexStat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35e5d62b-6f98-4142-8c7e-ca0446cdc5fd</vt:lpwstr>
  </property>
</Properties>
</file>