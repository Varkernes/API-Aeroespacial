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7" documentId="11_A72CB63E05C606ECCD44A8D5221AE809AE21764F" xr6:coauthVersionLast="47" xr6:coauthVersionMax="47" xr10:uidLastSave="{DBB2D184-7EAE-48FE-AACE-4F70352CB144}"/>
  <bookViews>
    <workbookView xWindow="0" yWindow="0" windowWidth="21600" windowHeight="9585" xr2:uid="{00000000-000D-0000-FFFF-FFFF00000000}"/>
  </bookViews>
  <sheets>
    <sheet name="Resultado" sheetId="1" r:id="rId1"/>
    <sheet name="Detalhamento" sheetId="2" r:id="rId2"/>
  </sheets>
  <definedNames>
    <definedName name="_xlnm._FilterDatabase" localSheetId="0" hidden="1">Resultado!$A$1:$I$1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</calcChain>
</file>

<file path=xl/sharedStrings.xml><?xml version="1.0" encoding="utf-8"?>
<sst xmlns="http://schemas.openxmlformats.org/spreadsheetml/2006/main" count="90" uniqueCount="76">
  <si>
    <t>Mês</t>
  </si>
  <si>
    <t>Codigo SH4</t>
  </si>
  <si>
    <t>Descrição SH4</t>
  </si>
  <si>
    <t>Município</t>
  </si>
  <si>
    <t>País</t>
  </si>
  <si>
    <t>UF do Município</t>
  </si>
  <si>
    <t>Bloco Econômico</t>
  </si>
  <si>
    <t>2022 - Valor FOB (US$)</t>
  </si>
  <si>
    <t>2022 - Quilograma Líquido</t>
  </si>
  <si>
    <t>Veículos aéreos (aeronaves) não tripulados</t>
  </si>
  <si>
    <t>São José dos Campos - SP</t>
  </si>
  <si>
    <t>China</t>
  </si>
  <si>
    <t>São Paulo</t>
  </si>
  <si>
    <t>Ásia (Exclusive Oriente Médio)</t>
  </si>
  <si>
    <t>Outros veículos aéreos (por exemplo: helicópteros, aviões); veículos espaciais (incluídos os satélites) e seus veículos de lançamento e veículos suborbitais</t>
  </si>
  <si>
    <t>Estados Unidos</t>
  </si>
  <si>
    <t>América do Norte</t>
  </si>
  <si>
    <t>Total: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</si>
  <si>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</si>
  <si>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</si>
  <si>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</si>
  <si>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</si>
  <si>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</si>
  <si>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</si>
  <si>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</si>
  <si>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</si>
  <si>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</si>
  <si>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</si>
  <si>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Posição (SH4)</t>
  </si>
  <si>
    <t>Detalhes</t>
  </si>
  <si>
    <t>Valores</t>
  </si>
  <si>
    <t>Janeiro</t>
  </si>
  <si>
    <t>Dezembro</t>
  </si>
  <si>
    <t>Horizontal</t>
  </si>
  <si>
    <t>Por município</t>
  </si>
  <si>
    <t>Importação</t>
  </si>
  <si>
    <t>Aparecida - SP</t>
  </si>
  <si>
    <t>Valor FOB</t>
  </si>
  <si>
    <t>Arapeí - SP</t>
  </si>
  <si>
    <t>Quilograma Líquido</t>
  </si>
  <si>
    <t>Areias - SP</t>
  </si>
  <si>
    <t>Bananal - SP</t>
  </si>
  <si>
    <t>Caçapava - SP</t>
  </si>
  <si>
    <t>Cachoeira Paulista - SP</t>
  </si>
  <si>
    <t>Campos do Jordão - SP</t>
  </si>
  <si>
    <t>Canas - SP</t>
  </si>
  <si>
    <t>Caraguatatuba - SP</t>
  </si>
  <si>
    <t>Cruzeiro - SP</t>
  </si>
  <si>
    <t>Cunha - SP</t>
  </si>
  <si>
    <t>Guaratinguetá - SP</t>
  </si>
  <si>
    <t>Igaratá - SP</t>
  </si>
  <si>
    <t>Ilhabela - SP</t>
  </si>
  <si>
    <t>Jacareí - SP</t>
  </si>
  <si>
    <t>Jambeiro - SP</t>
  </si>
  <si>
    <t>Lagoinha - SP</t>
  </si>
  <si>
    <t>Lavrinhas - SP</t>
  </si>
  <si>
    <t>Lorena - SP</t>
  </si>
  <si>
    <t>Monteiro Lobato - SP</t>
  </si>
  <si>
    <t>Natividade da Serra - SP</t>
  </si>
  <si>
    <t>Paraibuna - SP</t>
  </si>
  <si>
    <t>Pindamonhangaba - SP</t>
  </si>
  <si>
    <t>Piquete - SP</t>
  </si>
  <si>
    <t>Potim - SP</t>
  </si>
  <si>
    <t>Queluz - SP</t>
  </si>
  <si>
    <t>Redenção da Serra - SP</t>
  </si>
  <si>
    <t>Roseira - SP</t>
  </si>
  <si>
    <t>Santa Branca - SP</t>
  </si>
  <si>
    <t>Santo Antônio do Pinhal - SP</t>
  </si>
  <si>
    <t>São Bento do Sapucaí - SP</t>
  </si>
  <si>
    <t>São José do Barreiro - SP</t>
  </si>
  <si>
    <t>São Luís do Paraitinga - SP</t>
  </si>
  <si>
    <t>São Sebastião - SP</t>
  </si>
  <si>
    <t>Silveiras - SP</t>
  </si>
  <si>
    <t>Taubaté - SP</t>
  </si>
  <si>
    <t>Tremembé - SP</t>
  </si>
  <si>
    <t>Ubatuba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</si>
</sst>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$&quot;#,##0.00"/>
  </numFmts>
  <fonts count="3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0" fillId="0" borderId="2" xfId="0" applyNumberFormat="1" applyBorder="1" applyAlignment="1">
      <alignment horizontal="right"/>
    </xf>
    <xf numFmtId="2" fontId="0" fillId="0" borderId="2" xfId="0" applyNumberFormat="1" applyBorder="1"/>
    <xf numFmtId="1" fontId="2" fillId="2" borderId="3" xfId="0" applyNumberFormat="1" applyFon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1" fontId="2" fillId="2" borderId="4" xfId="0" applyNumberFormat="1" applyFont="1" applyFill="1" applyBorder="1" applyAlignment="1">
      <alignment horizontal="left"/>
    </xf>
    <xf numFmtId="165" fontId="0" fillId="0" borderId="1" xfId="0" applyNumberFormat="1" applyBorder="1"/>
    <xf numFmtId="0" fontId="0" fillId="0" borderId="1" xfId="1" applyNumberFormat="1" applyFont="1" applyBorder="1" applyAlignment="1">
      <alignment horizontal="right"/>
    </xf>
  </cellXfs>
  <cellStyles count="2">
    <cellStyle name="Moeda" xfId="1" builtinId="4"/>
    <cellStyle name="Normal" xfId="0" builtinId="0"/>
  </cellStyles>
  <dxfs count="4">
    <dxf>
      <numFmt numFmtId="165" formatCode="&quot;$&quot;#,##0.00"/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3F42B-AD11-45DF-B705-130B73C92B0A}" name="Table1" displayName="Table1" ref="A1:I4" totalsRowShown="0" headerRowDxfId="3" headerRowBorderDxfId="1" tableBorderDxfId="2">
  <autoFilter ref="A1:I4" xr:uid="{00000000-0009-0000-0000-000000000000}"/>
  <tableColumns count="9">
    <tableColumn id="1" xr3:uid="{66567BE1-EC10-4334-AEB7-7449E63842CE}" name="Mês"/>
    <tableColumn id="2" xr3:uid="{B9AEE084-FDE2-4172-A753-B4BBB71F72AF}" name="Codigo SH4"/>
    <tableColumn id="3" xr3:uid="{07569C6C-0444-4F92-B4F4-FBC4238879D9}" name="Descrição SH4"/>
    <tableColumn id="4" xr3:uid="{9DD2A31F-5165-474D-B8BD-E709792C7031}" name="Município"/>
    <tableColumn id="5" xr3:uid="{80FD82A8-B4DD-4368-AB75-2F36663802A3}" name="País"/>
    <tableColumn id="6" xr3:uid="{F097710B-E4F7-4351-BFEE-9372ED7FE104}" name="UF do Município"/>
    <tableColumn id="7" xr3:uid="{D55543E8-794A-42E2-BF4C-161DF05B8FA4}" name="Bloco Econômico"/>
    <tableColumn id="8" xr3:uid="{07C65B2E-DD42-4222-A253-6F9C92CFF304}" name="2022 - Valor FOB (US$)" dataDxfId="0"/>
    <tableColumn id="9" xr3:uid="{42611CF2-912D-46A0-83AB-AF4E0DC38A17}" name="2022 - Quilograma Líqui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3" sqref="A1:I3"/>
    </sheetView>
  </sheetViews>
  <sheetFormatPr defaultRowHeight="15"/>
  <cols>
    <col min="1" max="1" width="7.28515625" bestFit="1" customWidth="1"/>
    <col min="2" max="2" width="13.42578125" bestFit="1" customWidth="1"/>
    <col min="3" max="3" width="138.28515625" bestFit="1" customWidth="1"/>
    <col min="4" max="4" width="29.42578125" bestFit="1" customWidth="1"/>
    <col min="5" max="5" width="17.5703125" bestFit="1" customWidth="1"/>
    <col min="6" max="6" width="18.7109375" bestFit="1" customWidth="1"/>
    <col min="7" max="7" width="36.42578125" bestFit="1" customWidth="1"/>
    <col min="8" max="8" width="27" bestFit="1" customWidth="1"/>
    <col min="9" max="9" width="30.5703125" bestFit="1" customWidth="1"/>
  </cols>
  <sheetData>
    <row r="1" spans="1: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8" t="s">
        <v>8</v>
      </c>
    </row>
    <row r="2" spans="1:9">
      <c r="A2" s="1">
        <v>44743</v>
      </c>
      <c r="B2" s="2">
        <v>8806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10">
        <v>13856</v>
      </c>
      <c r="I2" s="4">
        <v>48</v>
      </c>
    </row>
    <row r="3" spans="1:9">
      <c r="A3" s="1">
        <v>44743</v>
      </c>
      <c r="B3" s="2">
        <v>8802</v>
      </c>
      <c r="C3" s="2" t="s">
        <v>14</v>
      </c>
      <c r="D3" s="2" t="s">
        <v>10</v>
      </c>
      <c r="E3" s="2" t="s">
        <v>15</v>
      </c>
      <c r="F3" s="2" t="s">
        <v>12</v>
      </c>
      <c r="G3" s="2" t="s">
        <v>16</v>
      </c>
      <c r="H3" s="10">
        <v>3988</v>
      </c>
      <c r="I3" s="4">
        <v>0</v>
      </c>
    </row>
    <row r="4" spans="1:9">
      <c r="G4" s="3" t="s">
        <v>17</v>
      </c>
      <c r="H4" s="9">
        <f>SUM(H2+H3)</f>
        <v>17844</v>
      </c>
      <c r="I4" s="5">
        <f>SUM(I2+I3)</f>
        <v>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workbookViewId="0"/>
  </sheetViews>
  <sheetFormatPr defaultRowHeight="1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1" width="16.42578125" bestFit="1" customWidth="1"/>
    <col min="12" max="12" width="34.140625" bestFit="1" customWidth="1"/>
    <col min="13" max="13" width="5.85546875" bestFit="1" customWidth="1"/>
    <col min="14" max="14" width="18.7109375" bestFit="1" customWidth="1"/>
    <col min="15" max="15" width="22.28515625" bestFit="1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3</v>
      </c>
      <c r="M1" t="s">
        <v>4</v>
      </c>
      <c r="N1" t="s">
        <v>29</v>
      </c>
      <c r="O1" t="s">
        <v>30</v>
      </c>
    </row>
    <row r="2" spans="1:15">
      <c r="A2">
        <v>2022</v>
      </c>
      <c r="B2">
        <v>2022</v>
      </c>
      <c r="C2" t="s">
        <v>31</v>
      </c>
      <c r="D2" t="s">
        <v>32</v>
      </c>
      <c r="E2">
        <v>2</v>
      </c>
      <c r="F2" t="s">
        <v>33</v>
      </c>
      <c r="G2" t="s">
        <v>34</v>
      </c>
      <c r="H2" t="s">
        <v>35</v>
      </c>
      <c r="I2" t="s">
        <v>30</v>
      </c>
      <c r="J2" t="s">
        <v>28</v>
      </c>
      <c r="K2">
        <v>8806</v>
      </c>
      <c r="L2" t="s">
        <v>36</v>
      </c>
      <c r="N2" t="s">
        <v>28</v>
      </c>
      <c r="O2" t="s">
        <v>37</v>
      </c>
    </row>
    <row r="3" spans="1:15">
      <c r="J3" t="s">
        <v>3</v>
      </c>
      <c r="K3">
        <v>8802</v>
      </c>
      <c r="L3" t="s">
        <v>38</v>
      </c>
      <c r="N3" t="s">
        <v>3</v>
      </c>
      <c r="O3" t="s">
        <v>39</v>
      </c>
    </row>
    <row r="4" spans="1:15">
      <c r="J4" t="s">
        <v>4</v>
      </c>
      <c r="L4" t="s">
        <v>40</v>
      </c>
      <c r="N4" t="s">
        <v>4</v>
      </c>
    </row>
    <row r="5" spans="1:15">
      <c r="L5" t="s">
        <v>41</v>
      </c>
      <c r="N5" t="s">
        <v>5</v>
      </c>
    </row>
    <row r="6" spans="1:15">
      <c r="L6" t="s">
        <v>42</v>
      </c>
      <c r="N6" t="s">
        <v>6</v>
      </c>
    </row>
    <row r="7" spans="1:15">
      <c r="L7" t="s">
        <v>43</v>
      </c>
    </row>
    <row r="8" spans="1:15">
      <c r="L8" t="s">
        <v>44</v>
      </c>
    </row>
    <row r="9" spans="1:15">
      <c r="L9" t="s">
        <v>45</v>
      </c>
    </row>
    <row r="10" spans="1:15">
      <c r="L10" t="s">
        <v>46</v>
      </c>
    </row>
    <row r="11" spans="1:15">
      <c r="L11" t="s">
        <v>47</v>
      </c>
    </row>
    <row r="12" spans="1:15">
      <c r="L12" t="s">
        <v>48</v>
      </c>
    </row>
    <row r="13" spans="1:15">
      <c r="L13" t="s">
        <v>49</v>
      </c>
    </row>
    <row r="14" spans="1:15">
      <c r="L14" t="s">
        <v>50</v>
      </c>
    </row>
    <row r="15" spans="1:15">
      <c r="L15" t="s">
        <v>51</v>
      </c>
    </row>
    <row r="16" spans="1:15">
      <c r="L16" t="s">
        <v>52</v>
      </c>
    </row>
    <row r="17" spans="12:12">
      <c r="L17" t="s">
        <v>53</v>
      </c>
    </row>
    <row r="18" spans="12:12">
      <c r="L18" t="s">
        <v>54</v>
      </c>
    </row>
    <row r="19" spans="12:12">
      <c r="L19" t="s">
        <v>55</v>
      </c>
    </row>
    <row r="20" spans="12:12">
      <c r="L20" t="s">
        <v>56</v>
      </c>
    </row>
    <row r="21" spans="12:12">
      <c r="L21" t="s">
        <v>57</v>
      </c>
    </row>
    <row r="22" spans="12:12">
      <c r="L22" t="s">
        <v>58</v>
      </c>
    </row>
    <row r="23" spans="12:12">
      <c r="L23" t="s">
        <v>59</v>
      </c>
    </row>
    <row r="24" spans="12:12">
      <c r="L24" t="s">
        <v>60</v>
      </c>
    </row>
    <row r="25" spans="12:12">
      <c r="L25" t="s">
        <v>61</v>
      </c>
    </row>
    <row r="26" spans="12:12">
      <c r="L26" t="s">
        <v>62</v>
      </c>
    </row>
    <row r="27" spans="12:12">
      <c r="L27" t="s">
        <v>63</v>
      </c>
    </row>
    <row r="28" spans="12:12">
      <c r="L28" t="s">
        <v>64</v>
      </c>
    </row>
    <row r="29" spans="12:12">
      <c r="L29" t="s">
        <v>65</v>
      </c>
    </row>
    <row r="30" spans="12:12">
      <c r="L30" t="s">
        <v>66</v>
      </c>
    </row>
    <row r="31" spans="12:12">
      <c r="L31" t="s">
        <v>67</v>
      </c>
    </row>
    <row r="32" spans="12:12">
      <c r="L32" t="s">
        <v>68</v>
      </c>
    </row>
    <row r="33" spans="12:12">
      <c r="L33" t="s">
        <v>69</v>
      </c>
    </row>
    <row r="34" spans="12:12">
      <c r="L34" t="s">
        <v>10</v>
      </c>
    </row>
    <row r="35" spans="12:12">
      <c r="L35" t="s">
        <v>70</v>
      </c>
    </row>
    <row r="36" spans="12:12">
      <c r="L36" t="s">
        <v>71</v>
      </c>
    </row>
    <row r="37" spans="12:12">
      <c r="L37" t="s">
        <v>72</v>
      </c>
    </row>
    <row r="38" spans="12:12">
      <c r="L38" t="s">
        <v>73</v>
      </c>
    </row>
    <row r="39" spans="12:12">
      <c r="L39" t="s">
        <v>74</v>
      </c>
    </row>
    <row r="40" spans="12:12">
      <c r="L40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ALENDRE ESCOBAR GARCIA SILVEIRA</cp:lastModifiedBy>
  <cp:revision/>
  <dcterms:created xsi:type="dcterms:W3CDTF">2022-09-01T00:28:29Z</dcterms:created>
  <dcterms:modified xsi:type="dcterms:W3CDTF">2022-10-06T00:51:36Z</dcterms:modified>
  <cp:category>ComexStat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b696ed61-ce7b-4aa4-950e-d3f157ba7260</vt:lpwstr>
  </property>
</Properties>
</file>